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Code\IEC61850_Qt\"/>
    </mc:Choice>
  </mc:AlternateContent>
  <bookViews>
    <workbookView xWindow="5445" yWindow="4020" windowWidth="21600" windowHeight="12735" tabRatio="530" activeTab="1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8"/>
  <definedNames>
    <definedName name="ProjectName">'Project Information'!$B$1</definedName>
    <definedName name="TesterName">'Project Information'!$B$2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" i="7" l="1"/>
  <c r="B16" i="2" l="1"/>
</calcChain>
</file>

<file path=xl/sharedStrings.xml><?xml version="1.0" encoding="utf-8"?>
<sst xmlns="http://schemas.openxmlformats.org/spreadsheetml/2006/main" count="297" uniqueCount="217">
  <si>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</si>
  <si>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</si>
  <si>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</si>
  <si>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</si>
  <si>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</si>
  <si>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</si>
  <si>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</si>
  <si>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</si>
  <si>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</si>
  <si>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</si>
  <si>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</si>
  <si>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</si>
  <si>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</si>
  <si>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</si>
  <si>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</si>
  <si>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</si>
  <si>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</si>
  <si>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</si>
  <si>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</si>
  <si>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</si>
  <si>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</si>
  <si>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</si>
  <si>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</si>
  <si>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</si>
  <si>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</si>
  <si>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</si>
  <si>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</si>
  <si>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</si>
  <si>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</si>
  <si>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</si>
  <si>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</si>
  <si>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</si>
  <si>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</si>
  <si>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</si>
  <si>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</si>
  <si>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</si>
  <si>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</si>
  <si>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</si>
  <si>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</si>
  <si>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</si>
  <si>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</si>
  <si>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</si>
  <si>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</si>
  <si>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</si>
  <si>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</si>
  <si>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</si>
  <si>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</si>
  <si>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</si>
  <si>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</si>
  <si>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</si>
  <si>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</si>
  <si>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</si>
  <si>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</si>
  <si>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</si>
  <si>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</si>
  <si>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</si>
  <si>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</si>
  <si>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</si>
  <si>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</si>
  <si>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</si>
  <si>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</si>
  <si>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</si>
  <si>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</si>
  <si>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</si>
  <si>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</si>
  <si>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</si>
  <si>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</si>
  <si>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</si>
  <si>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</si>
  <si>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</si>
  <si>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</si>
  <si>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</si>
  <si>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</si>
  <si>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</si>
  <si>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</si>
  <si>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</si>
  <si>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</si>
  <si>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</si>
  <si>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</si>
  <si>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</si>
  <si>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</si>
  <si>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</si>
  <si>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</si>
  <si>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</si>
  <si>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</si>
  <si>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</si>
  <si>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</si>
  <si>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</si>
  <si>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</si>
  <si>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</si>
  <si>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</si>
  <si>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</si>
  <si>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</si>
  <si>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</si>
  <si>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</si>
  <si>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</si>
  <si>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</si>
  <si>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</si>
  <si>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</si>
  <si>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</si>
  <si>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</si>
  <si>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</si>
  <si>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</si>
  <si>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</si>
  <si>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</si>
  <si>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</si>
  <si>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</si>
  <si>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</si>
  <si>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</si>
  <si>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</si>
  <si>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</si>
  <si>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</si>
  <si>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</si>
  <si>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</si>
  <si>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</si>
  <si>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</si>
  <si>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</si>
  <si>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</si>
  <si>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</si>
  <si>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</si>
  <si>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</si>
  <si>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</si>
  <si>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</si>
  <si>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</si>
  <si>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</si>
  <si>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</si>
  <si>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</si>
  <si>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</si>
  <si>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</si>
  <si>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</si>
  <si>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</si>
  <si>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</si>
  <si>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</si>
  <si>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</si>
  <si>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</si>
  <si>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</si>
  <si>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</si>
  <si>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</si>
  <si>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</si>
  <si>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</si>
  <si>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</si>
  <si>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</si>
  <si>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</si>
  <si>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</si>
  <si>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</si>
  <si>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</si>
  <si>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</si>
  <si>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</si>
  <si>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</si>
  <si>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</si>
  <si>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</si>
  <si>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</si>
  <si>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</si>
  <si>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</si>
  <si>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</si>
  <si>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</si>
  <si>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</si>
  <si>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</si>
  <si>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</si>
  <si>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</si>
  <si>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</si>
  <si>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</si>
  <si>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</si>
  <si>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</si>
  <si>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</si>
  <si>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</si>
  <si>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</si>
  <si>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</si>
  <si>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</si>
  <si>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</si>
  <si>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</si>
  <si>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</si>
  <si>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</si>
  <si>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</si>
  <si>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</si>
  <si>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</si>
  <si>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</si>
  <si>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</si>
  <si>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</si>
  <si>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</si>
  <si>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</si>
  <si>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</si>
  <si>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</si>
  <si>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</si>
  <si>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</si>
  <si>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</si>
  <si>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</si>
  <si>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</si>
  <si>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</si>
  <si>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</si>
  <si>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</si>
  <si>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</si>
  <si>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</si>
  <si>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</si>
  <si>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</si>
  <si>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</si>
  <si>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</si>
  <si>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</si>
  <si>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Originator Address</t>
  </si>
  <si>
    <t>Omicron</t>
  </si>
  <si>
    <t>Device ID</t>
  </si>
  <si>
    <t>Omicron Telegram</t>
  </si>
  <si>
    <t>Type</t>
  </si>
  <si>
    <t>Index</t>
  </si>
  <si>
    <t>Signal Value</t>
  </si>
  <si>
    <t>Simulation SingleIndication</t>
  </si>
  <si>
    <t>IED104</t>
  </si>
  <si>
    <t>127.0.0.1</t>
  </si>
  <si>
    <t>192.168.1.248</t>
  </si>
  <si>
    <t>PTM</t>
  </si>
  <si>
    <t>Test</t>
  </si>
  <si>
    <t>BA1</t>
  </si>
  <si>
    <t>SP</t>
  </si>
  <si>
    <t>SingleIndication.vi</t>
  </si>
  <si>
    <t>onColor=255,0,0</t>
  </si>
  <si>
    <t>textColor=0,0,255</t>
  </si>
  <si>
    <t>offColor=0,255,0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</si>
</sst>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0" tint="-0.49998474074526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17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0" fontId="0" fillId="0" borderId="0" xfId="0" applyNumberFormat="1" applyAlignment="1" applyProtection="1">
      <alignment horizontal="left"/>
      <protection locked="0"/>
    </xf>
    <xf numFmtId="0" fontId="0" fillId="0" borderId="0" xfId="0" applyNumberFormat="1" applyAlignment="1" applyProtection="1">
      <alignment horizontal="left" vertical="top" wrapText="1"/>
      <protection locked="0"/>
    </xf>
    <xf numFmtId="0" fontId="4" fillId="0" borderId="0" xfId="0" applyNumberFormat="1" applyFont="1" applyAlignment="1" applyProtection="1">
      <alignment horizontal="left"/>
      <protection locked="0"/>
    </xf>
    <xf numFmtId="0" fontId="4" fillId="0" borderId="0" xfId="0" applyNumberFormat="1" applyFont="1" applyAlignment="1" applyProtection="1">
      <alignment horizontal="left" vertical="top" wrapText="1"/>
      <protection locked="0"/>
    </xf>
    <xf numFmtId="0" fontId="3" fillId="0" borderId="0" xfId="0" applyNumberFormat="1" applyFont="1" applyAlignment="1" applyProtection="1">
      <alignment horizontal="left"/>
      <protection locked="0"/>
    </xf>
    <xf numFmtId="0" fontId="3" fillId="0" borderId="0" xfId="0" applyNumberFormat="1" applyFont="1" applyAlignment="1" applyProtection="1">
      <alignment horizontal="left" vertical="top" wrapText="1"/>
      <protection locked="0"/>
    </xf>
    <xf numFmtId="49" fontId="4" fillId="0" borderId="0" xfId="0" applyNumberFormat="1" applyFont="1"/>
    <xf numFmtId="0" fontId="4" fillId="0" borderId="0" xfId="0" applyFont="1"/>
    <xf numFmtId="0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 vertical="top" wrapText="1"/>
    </xf>
    <xf numFmtId="0" fontId="0" fillId="0" borderId="0" xfId="0" applyNumberFormat="1" applyBorder="1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0" fontId="4" fillId="0" borderId="0" xfId="0" applyNumberFormat="1" applyFont="1" applyProtection="1">
      <protection locked="0"/>
    </xf>
    <xf numFmtId="0" fontId="3" fillId="0" borderId="0" xfId="0" applyNumberFormat="1" applyFont="1" applyProtection="1">
      <protection locked="0"/>
    </xf>
  </cellXfs>
  <cellStyles count="3">
    <cellStyle name="60 % - Akzent1" xfId="1" builtinId="32"/>
    <cellStyle name="Normal 2" xfId="2"/>
    <cellStyle name="Standard" xfId="0" builtinId="0"/>
  </cellStyles>
  <dxfs count="91"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top" textRotation="0" wrapText="1" indent="0" justifyLastLine="0" shrinkToFit="0" readingOrder="0"/>
      <protection locked="0" hidden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estInterfaces" displayName="TestInterfaces" ref="A1:Q13" totalsRowShown="0" headerRowDxfId="90" dataDxfId="89">
  <autoFilter ref="A1:Q13"/>
  <tableColumns count="17">
    <tableColumn id="2" name="Interface Name" dataDxfId="88" totalsRowDxfId="87"/>
    <tableColumn id="3" name="Interface Type" dataDxfId="86" totalsRowDxfId="85"/>
    <tableColumn id="4" name="Column1" dataDxfId="84" totalsRowDxfId="83"/>
    <tableColumn id="5" name="Column2" dataDxfId="82" totalsRowDxfId="81"/>
    <tableColumn id="6" name="Column3" dataDxfId="80" totalsRowDxfId="79"/>
    <tableColumn id="7" name="Column4" dataDxfId="78" totalsRowDxfId="77"/>
    <tableColumn id="1" name="Column5" dataDxfId="76" totalsRowDxfId="75"/>
    <tableColumn id="8" name="Column6" dataDxfId="74" totalsRowDxfId="73"/>
    <tableColumn id="9" name="Column7" dataDxfId="72" totalsRowDxfId="71"/>
    <tableColumn id="10" name="Column8" dataDxfId="70" totalsRowDxfId="69"/>
    <tableColumn id="11" name="Column9" dataDxfId="68" totalsRowDxfId="67"/>
    <tableColumn id="12" name="Column10" dataDxfId="66" totalsRowDxfId="65"/>
    <tableColumn id="13" name="Column11" dataDxfId="64" totalsRowDxfId="63"/>
    <tableColumn id="14" name="Column12" dataDxfId="62" totalsRowDxfId="61"/>
    <tableColumn id="15" name="Column13" dataDxfId="60" totalsRowDxfId="59"/>
    <tableColumn id="16" name="Column14" dataDxfId="58" totalsRowDxfId="57"/>
    <tableColumn id="17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estObjects" displayName="TestObjects" ref="A1:AE29" totalsRowShown="0" headerRowDxfId="1" dataDxfId="0">
  <autoFilter ref="A1:AE29"/>
  <tableColumns count="31">
    <tableColumn id="1" name="Location 1" dataDxfId="32"/>
    <tableColumn id="2" name="Location 2" dataDxfId="31"/>
    <tableColumn id="3" name="Location 3" dataDxfId="30"/>
    <tableColumn id="4" name="Location 4" dataDxfId="29"/>
    <tableColumn id="5" name="Objectname" dataDxfId="28"/>
    <tableColumn id="6" name="Info-Type" dataDxfId="27"/>
    <tableColumn id="7" name="Column1" dataDxfId="26"/>
    <tableColumn id="8" name="Column2" dataDxfId="25"/>
    <tableColumn id="9" name="Column3" dataDxfId="24"/>
    <tableColumn id="10" name="Column4" dataDxfId="23"/>
    <tableColumn id="11" name="Column5" dataDxfId="22"/>
    <tableColumn id="12" name="Column6" dataDxfId="21"/>
    <tableColumn id="13" name="Column7" dataDxfId="20"/>
    <tableColumn id="14" name="Column8" dataDxfId="19"/>
    <tableColumn id="15" name="Column9" dataDxfId="18"/>
    <tableColumn id="16" name="Column10" dataDxfId="17"/>
    <tableColumn id="17" name="Column11" dataDxfId="16"/>
    <tableColumn id="18" name="Column12" dataDxfId="15"/>
    <tableColumn id="19" name="Column13" dataDxfId="14"/>
    <tableColumn id="20" name="Column14" dataDxfId="13"/>
    <tableColumn id="21" name="Column15" dataDxfId="12"/>
    <tableColumn id="22" name="Column16" dataDxfId="11"/>
    <tableColumn id="23" name="Column17" dataDxfId="10"/>
    <tableColumn id="24" name="Column18" dataDxfId="9"/>
    <tableColumn id="25" name="Column19" dataDxfId="8"/>
    <tableColumn id="26" name="Column20" dataDxfId="7"/>
    <tableColumn id="27" name="Column21" dataDxfId="6"/>
    <tableColumn id="28" name="Column22" dataDxfId="5"/>
    <tableColumn id="29" name="Column23" dataDxfId="4"/>
    <tableColumn id="30" name="Column24" dataDxfId="3"/>
    <tableColumn id="31" name="Column25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estCases" displayName="TestCases" ref="A1:T18" totalsRowShown="0" headerRowDxfId="54" dataDxfId="53">
  <autoFilter ref="A1:T18"/>
  <tableColumns count="20">
    <tableColumn id="1" name="Test Case Name" dataDxfId="52"/>
    <tableColumn id="11" name="Test Case Description" dataDxfId="51"/>
    <tableColumn id="13" name="Step Number" dataDxfId="50"/>
    <tableColumn id="2" name="Step Name" dataDxfId="49"/>
    <tableColumn id="3" name="Element type" dataDxfId="48"/>
    <tableColumn id="16386" name="Element type detail" dataDxfId="47"/>
    <tableColumn id="18" name="Name" dataDxfId="46"/>
    <tableColumn id="17" name="Tag" dataDxfId="45"/>
    <tableColumn id="4" name="Column 1" dataDxfId="44"/>
    <tableColumn id="5" name="Column 2" dataDxfId="43"/>
    <tableColumn id="6" name="Column 3" dataDxfId="42"/>
    <tableColumn id="7" name="Column 4" dataDxfId="41"/>
    <tableColumn id="8" name="Column 5" dataDxfId="40"/>
    <tableColumn id="9" name="Column 6" dataDxfId="39"/>
    <tableColumn id="10" name="Column 7" dataDxfId="38"/>
    <tableColumn id="14" name="Column 8" dataDxfId="37"/>
    <tableColumn id="15" name="Column 9" dataDxfId="36"/>
    <tableColumn id="16" name="Column 10" dataDxfId="35"/>
    <tableColumn id="19" name="Column 11" dataDxfId="34"/>
    <tableColumn id="20" name="Column 12" dataDxf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B22" sqref="B22"/>
    </sheetView>
  </sheetViews>
  <sheetFormatPr baseColWidth="10" defaultColWidth="9.140625" defaultRowHeight="12.75" x14ac:dyDescent="0.2"/>
  <cols>
    <col min="1" max="1" width="18.42578125" style="1" customWidth="1"/>
    <col min="2" max="2" width="63" style="1" customWidth="1"/>
  </cols>
  <sheetData>
    <row r="1" spans="1:2" x14ac:dyDescent="0.2">
      <c r="A1" s="1" t="s">
        <v>1</v>
      </c>
      <c r="B1" s="2" t="s">
        <v>205</v>
      </c>
    </row>
    <row r="2" spans="1:2" x14ac:dyDescent="0.2">
      <c r="A2" s="1" t="s">
        <v>2</v>
      </c>
      <c r="B2" s="2" t="s">
        <v>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6"/>
  <sheetViews>
    <sheetView tabSelected="1" zoomScale="90" workbookViewId="0">
      <selection activeCell="E13" sqref="E13"/>
    </sheetView>
  </sheetViews>
  <sheetFormatPr baseColWidth="10" defaultColWidth="9.140625" defaultRowHeight="12.75" x14ac:dyDescent="0.2"/>
  <cols>
    <col min="1" max="1" width="16.42578125" style="3" bestFit="1" customWidth="1"/>
    <col min="2" max="2" width="20.42578125" style="3" bestFit="1" customWidth="1"/>
    <col min="3" max="3" width="17.5703125" style="4" bestFit="1" customWidth="1"/>
    <col min="4" max="4" width="16.140625" style="3" bestFit="1" customWidth="1"/>
    <col min="5" max="5" width="26.5703125" style="3" bestFit="1" customWidth="1"/>
    <col min="6" max="6" width="37.5703125" style="3" bestFit="1" customWidth="1"/>
    <col min="7" max="7" width="25.5703125" style="3" bestFit="1" customWidth="1"/>
    <col min="8" max="8" width="33.140625" style="3" bestFit="1" customWidth="1"/>
    <col min="9" max="9" width="16.42578125" style="3" bestFit="1" customWidth="1"/>
    <col min="10" max="16384" width="9.140625" style="3"/>
  </cols>
  <sheetData>
    <row r="1" spans="1:17" ht="14.1" customHeight="1" x14ac:dyDescent="0.2">
      <c r="A1" s="3" t="s">
        <v>97</v>
      </c>
      <c r="B1" s="3" t="s">
        <v>98</v>
      </c>
      <c r="C1" s="4" t="s">
        <v>3</v>
      </c>
      <c r="D1" s="3" t="s">
        <v>4</v>
      </c>
      <c r="E1" s="3" t="s">
        <v>5</v>
      </c>
      <c r="F1" s="3" t="s">
        <v>6</v>
      </c>
      <c r="G1" s="3" t="s">
        <v>33</v>
      </c>
      <c r="H1" s="3" t="s">
        <v>34</v>
      </c>
      <c r="I1" s="3" t="s">
        <v>35</v>
      </c>
      <c r="J1" s="3" t="s">
        <v>36</v>
      </c>
      <c r="K1" s="3" t="s">
        <v>37</v>
      </c>
      <c r="L1" s="3" t="s">
        <v>39</v>
      </c>
      <c r="M1" s="3" t="s">
        <v>40</v>
      </c>
      <c r="N1" s="3" t="s">
        <v>38</v>
      </c>
      <c r="O1" s="3" t="s">
        <v>41</v>
      </c>
      <c r="P1" s="3" t="s">
        <v>110</v>
      </c>
      <c r="Q1" s="3" t="s">
        <v>111</v>
      </c>
    </row>
    <row r="2" spans="1:17" s="5" customFormat="1" ht="14.1" customHeight="1" x14ac:dyDescent="0.2">
      <c r="B2" s="5" t="s">
        <v>133</v>
      </c>
      <c r="C2" s="6" t="s">
        <v>8</v>
      </c>
      <c r="D2" s="5" t="s">
        <v>9</v>
      </c>
      <c r="E2" s="5" t="s">
        <v>140</v>
      </c>
      <c r="F2" s="5" t="s">
        <v>141</v>
      </c>
      <c r="G2" s="5" t="s">
        <v>139</v>
      </c>
      <c r="H2" s="5" t="s">
        <v>162</v>
      </c>
      <c r="I2" s="5" t="s">
        <v>198</v>
      </c>
    </row>
    <row r="3" spans="1:17" s="5" customFormat="1" ht="14.1" customHeight="1" x14ac:dyDescent="0.2">
      <c r="B3" s="5" t="s">
        <v>134</v>
      </c>
      <c r="C3" s="6" t="s">
        <v>7</v>
      </c>
      <c r="E3" s="5" t="s">
        <v>145</v>
      </c>
      <c r="F3" s="5" t="s">
        <v>73</v>
      </c>
      <c r="G3" s="5" t="s">
        <v>198</v>
      </c>
    </row>
    <row r="4" spans="1:17" s="5" customFormat="1" ht="14.1" customHeight="1" x14ac:dyDescent="0.2">
      <c r="B4" s="5" t="s">
        <v>10</v>
      </c>
      <c r="C4" s="6" t="s">
        <v>11</v>
      </c>
      <c r="D4" s="5" t="s">
        <v>12</v>
      </c>
      <c r="E4" s="5" t="s">
        <v>197</v>
      </c>
    </row>
    <row r="5" spans="1:17" s="5" customFormat="1" ht="25.5" x14ac:dyDescent="0.2">
      <c r="B5" s="5" t="s">
        <v>142</v>
      </c>
      <c r="C5" s="6" t="s">
        <v>143</v>
      </c>
      <c r="D5" s="5" t="s">
        <v>144</v>
      </c>
      <c r="E5" s="5" t="s">
        <v>145</v>
      </c>
      <c r="F5" s="5" t="s">
        <v>73</v>
      </c>
    </row>
    <row r="6" spans="1:17" s="5" customFormat="1" ht="25.5" x14ac:dyDescent="0.2">
      <c r="B6" s="5" t="s">
        <v>146</v>
      </c>
      <c r="C6" s="6" t="s">
        <v>143</v>
      </c>
      <c r="D6" s="5" t="s">
        <v>144</v>
      </c>
      <c r="E6" s="5" t="s">
        <v>8</v>
      </c>
      <c r="F6" s="5" t="s">
        <v>9</v>
      </c>
      <c r="G6" s="5" t="s">
        <v>147</v>
      </c>
    </row>
    <row r="7" spans="1:17" s="5" customFormat="1" x14ac:dyDescent="0.2">
      <c r="B7" s="5" t="s">
        <v>188</v>
      </c>
      <c r="C7" s="6" t="s">
        <v>145</v>
      </c>
      <c r="D7" s="5" t="s">
        <v>73</v>
      </c>
      <c r="E7" s="5" t="s">
        <v>195</v>
      </c>
      <c r="F7" s="5" t="s">
        <v>189</v>
      </c>
      <c r="G7" s="5" t="s">
        <v>190</v>
      </c>
      <c r="H7" s="5" t="s">
        <v>191</v>
      </c>
      <c r="I7" s="5" t="s">
        <v>192</v>
      </c>
    </row>
    <row r="8" spans="1:17" s="5" customFormat="1" x14ac:dyDescent="0.2">
      <c r="B8" s="5" t="s">
        <v>160</v>
      </c>
      <c r="C8" s="6" t="s">
        <v>12</v>
      </c>
      <c r="D8" s="5" t="s">
        <v>155</v>
      </c>
      <c r="E8" s="5" t="s">
        <v>157</v>
      </c>
      <c r="F8" s="5" t="s">
        <v>156</v>
      </c>
    </row>
    <row r="9" spans="1:17" s="5" customFormat="1" x14ac:dyDescent="0.2">
      <c r="B9" s="5" t="s">
        <v>199</v>
      </c>
      <c r="C9" s="6" t="s">
        <v>12</v>
      </c>
      <c r="D9" s="5" t="s">
        <v>200</v>
      </c>
    </row>
    <row r="11" spans="1:17" s="7" customFormat="1" x14ac:dyDescent="0.2">
      <c r="C11" s="8"/>
      <c r="E11" s="8"/>
    </row>
    <row r="12" spans="1:17" x14ac:dyDescent="0.2">
      <c r="A12" s="3" t="s">
        <v>209</v>
      </c>
      <c r="B12" s="3" t="s">
        <v>10</v>
      </c>
      <c r="C12" s="4">
        <v>201</v>
      </c>
      <c r="D12" s="3" t="s">
        <v>207</v>
      </c>
      <c r="E12" s="3">
        <v>24000</v>
      </c>
    </row>
    <row r="16" spans="1:17" x14ac:dyDescent="0.2">
      <c r="A16" s="11" t="s">
        <v>206</v>
      </c>
      <c r="B16" s="11" t="str">
        <f>B8</f>
        <v>IEC 61850 IED</v>
      </c>
      <c r="C16" s="12" t="s">
        <v>208</v>
      </c>
      <c r="D16" s="11"/>
      <c r="E16" s="12" t="s">
        <v>207</v>
      </c>
      <c r="F16" s="11">
        <v>2404</v>
      </c>
      <c r="G16" s="13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7"/>
  <sheetViews>
    <sheetView zoomScaleNormal="100" workbookViewId="0">
      <selection activeCell="H24" sqref="H24"/>
    </sheetView>
  </sheetViews>
  <sheetFormatPr baseColWidth="10" defaultColWidth="9.140625" defaultRowHeight="12.75" x14ac:dyDescent="0.2"/>
  <cols>
    <col min="1" max="1" width="10.28515625" style="14" customWidth="1"/>
    <col min="2" max="4" width="3.7109375" style="14" customWidth="1"/>
    <col min="5" max="5" width="6.140625" style="14" customWidth="1"/>
    <col min="6" max="6" width="18.140625" style="14" customWidth="1"/>
    <col min="7" max="7" width="17.42578125" style="14" customWidth="1"/>
    <col min="8" max="8" width="23.140625" style="14" customWidth="1"/>
    <col min="9" max="9" width="20.140625" style="14" customWidth="1"/>
    <col min="10" max="10" width="22.42578125" style="14" customWidth="1"/>
    <col min="11" max="11" width="17.7109375" style="14" customWidth="1"/>
    <col min="12" max="12" width="32.42578125" style="14" customWidth="1"/>
    <col min="13" max="13" width="25.42578125" style="14" customWidth="1"/>
    <col min="14" max="14" width="22.5703125" style="14" bestFit="1" customWidth="1"/>
    <col min="15" max="15" width="29.85546875" style="14" customWidth="1"/>
    <col min="16" max="16" width="24.5703125" style="14" customWidth="1"/>
    <col min="17" max="17" width="25.42578125" style="14" bestFit="1" customWidth="1"/>
    <col min="18" max="18" width="31.42578125" style="14" customWidth="1"/>
    <col min="19" max="19" width="17.42578125" style="14" bestFit="1" customWidth="1"/>
    <col min="20" max="20" width="20.5703125" style="14" customWidth="1"/>
    <col min="21" max="21" width="16.42578125" style="14" bestFit="1" customWidth="1"/>
    <col min="22" max="31" width="20.5703125" style="14" customWidth="1"/>
    <col min="32" max="16384" width="9.140625" style="14"/>
  </cols>
  <sheetData>
    <row r="1" spans="1:31" x14ac:dyDescent="0.2">
      <c r="A1" s="14" t="s">
        <v>26</v>
      </c>
      <c r="B1" s="14" t="s">
        <v>27</v>
      </c>
      <c r="C1" s="14" t="s">
        <v>28</v>
      </c>
      <c r="D1" s="14" t="s">
        <v>29</v>
      </c>
      <c r="E1" s="14" t="s">
        <v>30</v>
      </c>
      <c r="F1" s="14" t="s">
        <v>43</v>
      </c>
      <c r="G1" s="14" t="s">
        <v>3</v>
      </c>
      <c r="H1" s="14" t="s">
        <v>4</v>
      </c>
      <c r="I1" s="14" t="s">
        <v>5</v>
      </c>
      <c r="J1" s="14" t="s">
        <v>6</v>
      </c>
      <c r="K1" s="14" t="s">
        <v>33</v>
      </c>
      <c r="L1" s="14" t="s">
        <v>34</v>
      </c>
      <c r="M1" s="14" t="s">
        <v>35</v>
      </c>
      <c r="N1" s="14" t="s">
        <v>36</v>
      </c>
      <c r="O1" s="14" t="s">
        <v>37</v>
      </c>
      <c r="P1" s="14" t="s">
        <v>39</v>
      </c>
      <c r="Q1" s="14" t="s">
        <v>40</v>
      </c>
      <c r="R1" s="14" t="s">
        <v>38</v>
      </c>
      <c r="S1" s="14" t="s">
        <v>41</v>
      </c>
      <c r="T1" s="14" t="s">
        <v>110</v>
      </c>
      <c r="U1" s="14" t="s">
        <v>111</v>
      </c>
      <c r="V1" s="14" t="s">
        <v>112</v>
      </c>
      <c r="W1" s="14" t="s">
        <v>113</v>
      </c>
      <c r="X1" s="14" t="s">
        <v>114</v>
      </c>
      <c r="Y1" s="14" t="s">
        <v>115</v>
      </c>
      <c r="Z1" s="14" t="s">
        <v>116</v>
      </c>
      <c r="AA1" s="14" t="s">
        <v>117</v>
      </c>
      <c r="AB1" s="14" t="s">
        <v>118</v>
      </c>
      <c r="AC1" s="14" t="s">
        <v>119</v>
      </c>
      <c r="AD1" s="14" t="s">
        <v>120</v>
      </c>
      <c r="AE1" s="14" t="s">
        <v>121</v>
      </c>
    </row>
    <row r="2" spans="1:31" s="15" customFormat="1" x14ac:dyDescent="0.2">
      <c r="F2" s="15" t="s">
        <v>32</v>
      </c>
      <c r="G2" s="15" t="s">
        <v>31</v>
      </c>
      <c r="H2" s="15" t="s">
        <v>76</v>
      </c>
      <c r="I2" s="15" t="s">
        <v>99</v>
      </c>
      <c r="J2" s="15" t="s">
        <v>100</v>
      </c>
      <c r="K2" s="15" t="s">
        <v>77</v>
      </c>
      <c r="L2" s="15" t="s">
        <v>101</v>
      </c>
      <c r="M2" s="15" t="s">
        <v>102</v>
      </c>
      <c r="N2" s="15" t="s">
        <v>78</v>
      </c>
      <c r="O2" s="15" t="s">
        <v>103</v>
      </c>
      <c r="P2" s="15" t="s">
        <v>104</v>
      </c>
      <c r="Q2" s="15" t="s">
        <v>93</v>
      </c>
      <c r="R2" s="15" t="s">
        <v>105</v>
      </c>
      <c r="S2" s="15" t="s">
        <v>106</v>
      </c>
    </row>
    <row r="3" spans="1:31" s="15" customFormat="1" x14ac:dyDescent="0.2">
      <c r="F3" s="15" t="s">
        <v>42</v>
      </c>
      <c r="G3" s="15" t="s">
        <v>74</v>
      </c>
      <c r="H3" s="15" t="s">
        <v>31</v>
      </c>
      <c r="I3" s="15" t="s">
        <v>94</v>
      </c>
      <c r="J3" s="15" t="s">
        <v>75</v>
      </c>
      <c r="K3" s="15" t="s">
        <v>107</v>
      </c>
      <c r="L3" s="15" t="s">
        <v>108</v>
      </c>
    </row>
    <row r="4" spans="1:31" s="15" customFormat="1" x14ac:dyDescent="0.2">
      <c r="F4" s="15" t="s">
        <v>109</v>
      </c>
      <c r="G4" s="15" t="s">
        <v>31</v>
      </c>
      <c r="H4" s="15" t="s">
        <v>164</v>
      </c>
      <c r="I4" s="15" t="s">
        <v>165</v>
      </c>
      <c r="J4" s="15" t="s">
        <v>166</v>
      </c>
      <c r="K4" s="15" t="s">
        <v>167</v>
      </c>
      <c r="L4" s="15" t="s">
        <v>168</v>
      </c>
      <c r="M4" s="15" t="s">
        <v>169</v>
      </c>
      <c r="N4" s="15" t="s">
        <v>170</v>
      </c>
      <c r="O4" s="15" t="s">
        <v>171</v>
      </c>
      <c r="P4" s="15" t="s">
        <v>172</v>
      </c>
      <c r="Q4" s="15" t="s">
        <v>173</v>
      </c>
      <c r="R4" s="15" t="s">
        <v>174</v>
      </c>
      <c r="S4" s="15" t="s">
        <v>175</v>
      </c>
      <c r="T4" s="15" t="s">
        <v>176</v>
      </c>
      <c r="U4" s="15" t="s">
        <v>177</v>
      </c>
      <c r="V4" s="15" t="s">
        <v>178</v>
      </c>
      <c r="W4" s="15" t="s">
        <v>179</v>
      </c>
      <c r="X4" s="15" t="s">
        <v>180</v>
      </c>
      <c r="Y4" s="15" t="s">
        <v>181</v>
      </c>
      <c r="Z4" s="15" t="s">
        <v>182</v>
      </c>
      <c r="AA4" s="15" t="s">
        <v>183</v>
      </c>
      <c r="AB4" s="15" t="s">
        <v>184</v>
      </c>
      <c r="AC4" s="15" t="s">
        <v>185</v>
      </c>
      <c r="AD4" s="15" t="s">
        <v>186</v>
      </c>
      <c r="AE4" s="15" t="s">
        <v>187</v>
      </c>
    </row>
    <row r="5" spans="1:31" s="15" customFormat="1" x14ac:dyDescent="0.2">
      <c r="F5" s="15" t="s">
        <v>135</v>
      </c>
      <c r="G5" s="15" t="s">
        <v>74</v>
      </c>
      <c r="H5" s="15" t="s">
        <v>13</v>
      </c>
      <c r="I5" s="15" t="s">
        <v>94</v>
      </c>
      <c r="J5" s="15" t="s">
        <v>16</v>
      </c>
      <c r="K5" s="15" t="s">
        <v>17</v>
      </c>
      <c r="L5" s="15" t="s">
        <v>19</v>
      </c>
      <c r="M5" s="15" t="s">
        <v>21</v>
      </c>
      <c r="N5" s="15" t="s">
        <v>23</v>
      </c>
      <c r="O5" s="15" t="s">
        <v>154</v>
      </c>
      <c r="P5" s="15" t="s">
        <v>163</v>
      </c>
      <c r="Q5" s="15" t="s">
        <v>152</v>
      </c>
    </row>
    <row r="6" spans="1:31" s="15" customFormat="1" x14ac:dyDescent="0.2">
      <c r="F6" s="15" t="s">
        <v>136</v>
      </c>
      <c r="G6" s="15" t="s">
        <v>74</v>
      </c>
      <c r="H6" s="15" t="s">
        <v>13</v>
      </c>
      <c r="I6" s="15" t="s">
        <v>94</v>
      </c>
      <c r="J6" s="15" t="s">
        <v>16</v>
      </c>
      <c r="K6" s="15" t="s">
        <v>17</v>
      </c>
      <c r="L6" s="15" t="s">
        <v>19</v>
      </c>
      <c r="M6" s="15" t="s">
        <v>21</v>
      </c>
      <c r="N6" s="15" t="s">
        <v>23</v>
      </c>
      <c r="O6" s="15" t="s">
        <v>154</v>
      </c>
      <c r="P6" s="15" t="s">
        <v>163</v>
      </c>
      <c r="Q6" s="15" t="s">
        <v>152</v>
      </c>
    </row>
    <row r="7" spans="1:31" s="15" customFormat="1" x14ac:dyDescent="0.2">
      <c r="F7" s="15" t="s">
        <v>148</v>
      </c>
      <c r="G7" s="15" t="s">
        <v>74</v>
      </c>
      <c r="H7" s="15" t="s">
        <v>13</v>
      </c>
      <c r="I7" s="15" t="s">
        <v>94</v>
      </c>
      <c r="J7" s="15" t="s">
        <v>149</v>
      </c>
      <c r="K7" s="15" t="s">
        <v>150</v>
      </c>
      <c r="L7" s="15" t="s">
        <v>151</v>
      </c>
      <c r="M7" s="15" t="s">
        <v>152</v>
      </c>
      <c r="N7" s="15" t="s">
        <v>153</v>
      </c>
    </row>
    <row r="8" spans="1:31" s="15" customFormat="1" x14ac:dyDescent="0.2">
      <c r="F8" s="15" t="s">
        <v>193</v>
      </c>
      <c r="G8" s="15" t="s">
        <v>74</v>
      </c>
      <c r="H8" s="15" t="s">
        <v>13</v>
      </c>
      <c r="I8" s="15" t="s">
        <v>94</v>
      </c>
      <c r="J8" s="15" t="s">
        <v>149</v>
      </c>
      <c r="K8" s="15" t="s">
        <v>196</v>
      </c>
      <c r="L8" s="15" t="s">
        <v>194</v>
      </c>
    </row>
    <row r="9" spans="1:31" s="15" customFormat="1" x14ac:dyDescent="0.2">
      <c r="F9" s="15" t="s">
        <v>158</v>
      </c>
      <c r="G9" s="15" t="s">
        <v>74</v>
      </c>
      <c r="H9" s="15" t="s">
        <v>13</v>
      </c>
      <c r="I9" s="15" t="s">
        <v>94</v>
      </c>
      <c r="J9" s="15" t="s">
        <v>159</v>
      </c>
      <c r="K9" s="15" t="s">
        <v>161</v>
      </c>
    </row>
    <row r="10" spans="1:31" s="15" customFormat="1" x14ac:dyDescent="0.2">
      <c r="F10" s="15" t="s">
        <v>56</v>
      </c>
      <c r="G10" s="15" t="s">
        <v>96</v>
      </c>
      <c r="H10" s="15" t="s">
        <v>44</v>
      </c>
      <c r="I10" s="15" t="s">
        <v>45</v>
      </c>
      <c r="J10" s="15" t="s">
        <v>46</v>
      </c>
      <c r="K10" s="15" t="s">
        <v>47</v>
      </c>
      <c r="L10" s="15" t="s">
        <v>48</v>
      </c>
      <c r="M10" s="15" t="s">
        <v>49</v>
      </c>
      <c r="N10" s="15" t="s">
        <v>50</v>
      </c>
      <c r="O10" s="15" t="s">
        <v>51</v>
      </c>
      <c r="P10" s="15" t="s">
        <v>52</v>
      </c>
      <c r="Q10" s="15" t="s">
        <v>53</v>
      </c>
      <c r="R10" s="15" t="s">
        <v>54</v>
      </c>
      <c r="S10" s="15" t="s">
        <v>55</v>
      </c>
    </row>
    <row r="11" spans="1:31" s="15" customFormat="1" x14ac:dyDescent="0.2">
      <c r="F11" s="15" t="s">
        <v>57</v>
      </c>
      <c r="G11" s="15" t="s">
        <v>61</v>
      </c>
      <c r="H11" s="15" t="s">
        <v>62</v>
      </c>
      <c r="I11" s="15" t="s">
        <v>63</v>
      </c>
      <c r="J11" s="15" t="s">
        <v>64</v>
      </c>
      <c r="K11" s="15" t="s">
        <v>65</v>
      </c>
      <c r="L11" s="15" t="s">
        <v>66</v>
      </c>
      <c r="M11" s="15" t="s">
        <v>67</v>
      </c>
      <c r="N11" s="15" t="s">
        <v>68</v>
      </c>
      <c r="O11" s="15" t="s">
        <v>69</v>
      </c>
      <c r="P11" s="15" t="s">
        <v>70</v>
      </c>
      <c r="Q11" s="15" t="s">
        <v>71</v>
      </c>
      <c r="R11" s="15" t="s">
        <v>72</v>
      </c>
      <c r="S11" s="15" t="s">
        <v>95</v>
      </c>
    </row>
    <row r="12" spans="1:31" s="15" customFormat="1" x14ac:dyDescent="0.2">
      <c r="F12" s="15" t="s">
        <v>122</v>
      </c>
      <c r="G12" s="15" t="s">
        <v>74</v>
      </c>
      <c r="H12" s="15" t="s">
        <v>123</v>
      </c>
      <c r="I12" s="15" t="s">
        <v>124</v>
      </c>
      <c r="J12" s="15" t="s">
        <v>125</v>
      </c>
      <c r="K12" s="15" t="s">
        <v>126</v>
      </c>
      <c r="L12" s="15" t="s">
        <v>127</v>
      </c>
      <c r="M12" s="15" t="s">
        <v>128</v>
      </c>
      <c r="N12" s="15" t="s">
        <v>129</v>
      </c>
      <c r="O12" s="15" t="s">
        <v>130</v>
      </c>
      <c r="P12" s="15" t="s">
        <v>131</v>
      </c>
      <c r="Q12" s="15" t="s">
        <v>132</v>
      </c>
    </row>
    <row r="13" spans="1:31" s="15" customFormat="1" x14ac:dyDescent="0.2">
      <c r="F13" s="15" t="s">
        <v>201</v>
      </c>
      <c r="G13" s="15" t="s">
        <v>74</v>
      </c>
      <c r="H13" s="15" t="s">
        <v>13</v>
      </c>
      <c r="I13" s="15" t="s">
        <v>202</v>
      </c>
      <c r="J13" s="15" t="s">
        <v>203</v>
      </c>
      <c r="K13" s="15" t="s">
        <v>94</v>
      </c>
      <c r="L13" s="15" t="s">
        <v>204</v>
      </c>
    </row>
    <row r="16" spans="1:31" s="16" customFormat="1" x14ac:dyDescent="0.2">
      <c r="A16" s="16" t="s">
        <v>210</v>
      </c>
      <c r="E16" s="16" t="s">
        <v>211</v>
      </c>
      <c r="F16" s="16" t="str">
        <f>F3</f>
        <v>electrical SP</v>
      </c>
      <c r="G16" s="16" t="s">
        <v>212</v>
      </c>
      <c r="J16" s="16">
        <v>201</v>
      </c>
      <c r="K16" s="16">
        <v>1</v>
      </c>
    </row>
    <row r="17" spans="1:11" s="16" customFormat="1" x14ac:dyDescent="0.2">
      <c r="A17" s="16" t="s">
        <v>210</v>
      </c>
      <c r="E17" s="16" t="s">
        <v>211</v>
      </c>
      <c r="F17" s="16" t="s">
        <v>56</v>
      </c>
      <c r="G17" s="16" t="s">
        <v>213</v>
      </c>
      <c r="H17" s="16" t="s">
        <v>211</v>
      </c>
      <c r="I17" s="16" t="s">
        <v>214</v>
      </c>
      <c r="J17" s="16" t="s">
        <v>215</v>
      </c>
      <c r="K17" s="16" t="s">
        <v>216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8"/>
  <sheetViews>
    <sheetView zoomScaleNormal="100" workbookViewId="0">
      <selection activeCell="F23" sqref="F23"/>
    </sheetView>
  </sheetViews>
  <sheetFormatPr baseColWidth="10" defaultColWidth="5.5703125" defaultRowHeight="12.75" x14ac:dyDescent="0.2"/>
  <cols>
    <col min="1" max="1" width="18" style="1" bestFit="1" customWidth="1"/>
    <col min="2" max="3" width="5.5703125" style="1"/>
    <col min="4" max="4" width="14.28515625" style="1" bestFit="1" customWidth="1"/>
    <col min="5" max="5" width="15.140625" style="1" bestFit="1" customWidth="1"/>
    <col min="6" max="6" width="21.140625" style="1" bestFit="1" customWidth="1"/>
    <col min="7" max="7" width="26.85546875" style="1" bestFit="1" customWidth="1"/>
    <col min="8" max="8" width="12" style="1" bestFit="1" customWidth="1"/>
    <col min="9" max="9" width="28.28515625" style="1" bestFit="1" customWidth="1"/>
    <col min="10" max="18" width="5.5703125" style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s="10" customFormat="1" x14ac:dyDescent="0.2">
      <c r="A2" s="9"/>
      <c r="B2" s="9"/>
      <c r="C2" s="9"/>
      <c r="D2" s="9"/>
      <c r="E2" s="9" t="s">
        <v>88</v>
      </c>
      <c r="F2" s="9" t="s">
        <v>84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 spans="1:20" s="10" customFormat="1" x14ac:dyDescent="0.2">
      <c r="A3" s="9"/>
      <c r="B3" s="9"/>
      <c r="C3" s="9"/>
      <c r="D3" s="9"/>
      <c r="E3" s="9" t="s">
        <v>88</v>
      </c>
      <c r="F3" s="9" t="s">
        <v>85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 spans="1:20" s="10" customFormat="1" x14ac:dyDescent="0.2">
      <c r="A4" s="9"/>
      <c r="B4" s="9"/>
      <c r="C4" s="9"/>
      <c r="D4" s="9"/>
      <c r="E4" s="9" t="s">
        <v>88</v>
      </c>
      <c r="F4" s="9" t="s">
        <v>86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 spans="1:20" s="10" customFormat="1" x14ac:dyDescent="0.2">
      <c r="A5" s="9"/>
      <c r="B5" s="9"/>
      <c r="C5" s="9"/>
      <c r="D5" s="9"/>
      <c r="E5" s="9" t="s">
        <v>88</v>
      </c>
      <c r="F5" s="9" t="s">
        <v>87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s="10" customFormat="1" x14ac:dyDescent="0.2">
      <c r="A6" s="9"/>
      <c r="B6" s="9"/>
      <c r="C6" s="9"/>
      <c r="D6" s="9"/>
      <c r="E6" s="9" t="s">
        <v>89</v>
      </c>
      <c r="F6" s="9" t="s">
        <v>84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s="10" customFormat="1" x14ac:dyDescent="0.2">
      <c r="A7" s="9"/>
      <c r="B7" s="9"/>
      <c r="C7" s="9"/>
      <c r="D7" s="9"/>
      <c r="E7" s="9" t="s">
        <v>89</v>
      </c>
      <c r="F7" s="9" t="s">
        <v>85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 spans="1:20" s="10" customFormat="1" x14ac:dyDescent="0.2">
      <c r="A8" s="9"/>
      <c r="B8" s="9"/>
      <c r="C8" s="9"/>
      <c r="D8" s="9"/>
      <c r="E8" s="9" t="s">
        <v>89</v>
      </c>
      <c r="F8" s="9" t="s">
        <v>86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20" s="10" customFormat="1" x14ac:dyDescent="0.2">
      <c r="A9" s="9"/>
      <c r="B9" s="9"/>
      <c r="C9" s="9"/>
      <c r="D9" s="9"/>
      <c r="E9" s="9" t="s">
        <v>89</v>
      </c>
      <c r="F9" s="9" t="s">
        <v>87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1:20" s="10" customFormat="1" x14ac:dyDescent="0.2">
      <c r="A10" s="9"/>
      <c r="B10" s="9"/>
      <c r="C10" s="9"/>
      <c r="D10" s="9"/>
      <c r="E10" s="9" t="s">
        <v>90</v>
      </c>
      <c r="F10" s="9" t="s">
        <v>84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1:20" s="10" customFormat="1" x14ac:dyDescent="0.2">
      <c r="A11" s="9"/>
      <c r="B11" s="9"/>
      <c r="C11" s="9"/>
      <c r="D11" s="9"/>
      <c r="E11" s="9" t="s">
        <v>90</v>
      </c>
      <c r="F11" s="9" t="s">
        <v>85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1:20" s="10" customFormat="1" x14ac:dyDescent="0.2">
      <c r="A12" s="9"/>
      <c r="B12" s="9"/>
      <c r="C12" s="9"/>
      <c r="D12" s="9"/>
      <c r="E12" s="9" t="s">
        <v>90</v>
      </c>
      <c r="F12" s="9" t="s">
        <v>86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s="10" customFormat="1" x14ac:dyDescent="0.2">
      <c r="A13" s="9"/>
      <c r="B13" s="9"/>
      <c r="C13" s="9"/>
      <c r="D13" s="9"/>
      <c r="E13" s="9" t="s">
        <v>90</v>
      </c>
      <c r="F13" s="9" t="s">
        <v>87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  <button id="_SiAT_TI_Omicron" label="Omicron" onAction="Show_Dlg_TI_Omicron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3.00"/>
          <labelControl id="_SiAT_versionDate" label="(c) 24.03.2023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Rossel, Eugen (EM DG CS&amp;D PQM DB)</dc:creator>
  <cp:keywords>C_Unrestricted</cp:keywords>
  <cp:lastModifiedBy>Pfanne</cp:lastModifiedBy>
  <dcterms:created xsi:type="dcterms:W3CDTF">2016-11-21T12:16:59Z</dcterms:created>
  <dcterms:modified xsi:type="dcterms:W3CDTF">2024-05-26T18:43:24Z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  <property fmtid="{D5CDD505-2E9C-101B-9397-08002B2CF9AE}" pid="9" name="MSIP_Label_6f75f480-7803-4ee9-bb54-84d0635fdbe7_Enabled">
    <vt:lpwstr>true</vt:lpwstr>
  </property>
  <property fmtid="{D5CDD505-2E9C-101B-9397-08002B2CF9AE}" pid="10" name="MSIP_Label_6f75f480-7803-4ee9-bb54-84d0635fdbe7_SetDate">
    <vt:lpwstr>2023-03-24T08:56:50Z</vt:lpwstr>
  </property>
  <property fmtid="{D5CDD505-2E9C-101B-9397-08002B2CF9AE}" pid="11" name="MSIP_Label_6f75f480-7803-4ee9-bb54-84d0635fdbe7_Method">
    <vt:lpwstr>Standard</vt:lpwstr>
  </property>
  <property fmtid="{D5CDD505-2E9C-101B-9397-08002B2CF9AE}" pid="12" name="MSIP_Label_6f75f480-7803-4ee9-bb54-84d0635fdbe7_Name">
    <vt:lpwstr>unrestricted</vt:lpwstr>
  </property>
  <property fmtid="{D5CDD505-2E9C-101B-9397-08002B2CF9AE}" pid="13" name="MSIP_Label_6f75f480-7803-4ee9-bb54-84d0635fdbe7_SiteId">
    <vt:lpwstr>38ae3bcd-9579-4fd4-adda-b42e1495d55a</vt:lpwstr>
  </property>
  <property fmtid="{D5CDD505-2E9C-101B-9397-08002B2CF9AE}" pid="14" name="MSIP_Label_6f75f480-7803-4ee9-bb54-84d0635fdbe7_ActionId">
    <vt:lpwstr>b6a3bb93-ebbe-4d33-9b9d-6e3b08e64beb</vt:lpwstr>
  </property>
  <property fmtid="{D5CDD505-2E9C-101B-9397-08002B2CF9AE}" pid="15" name="MSIP_Label_6f75f480-7803-4ee9-bb54-84d0635fdbe7_ContentBits">
    <vt:lpwstr>0</vt:lpwstr>
  </property>
  <property fmtid="{D5CDD505-2E9C-101B-9397-08002B2CF9AE}" pid="16" name="Document_Confidentiality">
    <vt:lpwstr>Unrestricted</vt:lpwstr>
  </property>
</Properties>
</file>