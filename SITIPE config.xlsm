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2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3" i="7" l="1"/>
  <c r="H33" i="7"/>
  <c r="B21" i="2" l="1"/>
  <c r="F16" i="7" l="1"/>
</calcChain>
</file>

<file path=xl/sharedStrings.xml><?xml version="1.0" encoding="utf-8"?>
<sst xmlns="http://schemas.openxmlformats.org/spreadsheetml/2006/main" count="315" uniqueCount="221">
  <si>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</si>
  <si>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</si>
  <si>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</si>
  <si>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</si>
  <si>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</si>
  <si>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</si>
  <si>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</si>
  <si>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</si>
  <si>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</si>
  <si>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</si>
  <si>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</si>
  <si>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</si>
  <si>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</si>
  <si>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</si>
  <si>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</si>
  <si>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</si>
  <si>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</si>
  <si>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</si>
  <si>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</si>
  <si>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</si>
  <si>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</si>
  <si>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</si>
  <si>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</si>
  <si>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</si>
  <si>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</si>
  <si>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</si>
  <si>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</si>
  <si>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</si>
  <si>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</si>
  <si>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</si>
  <si>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</si>
  <si>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</si>
  <si>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</si>
  <si>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</si>
  <si>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</si>
  <si>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</si>
  <si>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</si>
  <si>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</si>
  <si>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</si>
  <si>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</si>
  <si>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</si>
  <si>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</si>
  <si>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</si>
  <si>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</si>
  <si>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</si>
  <si>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</si>
  <si>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</si>
  <si>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</si>
  <si>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</si>
  <si>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</si>
  <si>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</si>
  <si>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</si>
  <si>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</si>
  <si>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</si>
  <si>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</si>
  <si>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</si>
  <si>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</si>
  <si>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</si>
  <si>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</si>
  <si>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</si>
  <si>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</si>
  <si>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</si>
  <si>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</si>
  <si>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</si>
  <si>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</si>
  <si>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</si>
  <si>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</si>
  <si>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</si>
  <si>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</si>
  <si>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</si>
  <si>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</si>
  <si>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</si>
  <si>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</si>
  <si>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</si>
  <si>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</si>
  <si>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</si>
  <si>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</si>
  <si>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</si>
  <si>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</si>
  <si>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</si>
  <si>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</si>
  <si>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</si>
  <si>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</si>
  <si>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</si>
  <si>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</si>
  <si>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</si>
  <si>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</si>
  <si>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</si>
  <si>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</si>
  <si>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</si>
  <si>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</si>
  <si>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</si>
  <si>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</si>
  <si>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</si>
  <si>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</si>
  <si>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</si>
  <si>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</si>
  <si>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</si>
  <si>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</si>
  <si>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</si>
  <si>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</si>
  <si>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</si>
  <si>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</si>
  <si>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</si>
  <si>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</si>
  <si>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</si>
  <si>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</si>
  <si>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</si>
  <si>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</si>
  <si>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</si>
  <si>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</si>
  <si>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</si>
  <si>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</si>
  <si>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</si>
  <si>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</si>
  <si>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</si>
  <si>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</si>
  <si>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</si>
  <si>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</si>
  <si>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</si>
  <si>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</si>
  <si>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</si>
  <si>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</si>
  <si>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</si>
  <si>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</si>
  <si>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</si>
  <si>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</si>
  <si>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</si>
  <si>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</si>
  <si>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</si>
  <si>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</si>
  <si>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</si>
  <si>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</si>
  <si>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</si>
  <si>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</si>
  <si>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</si>
  <si>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</si>
  <si>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</si>
  <si>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</si>
  <si>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</si>
  <si>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</si>
  <si>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</si>
  <si>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</si>
  <si>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</si>
  <si>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</si>
  <si>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</si>
  <si>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</si>
  <si>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</si>
  <si>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</si>
  <si>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</si>
  <si>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</si>
  <si>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</si>
  <si>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</si>
  <si>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</si>
  <si>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</si>
  <si>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</si>
  <si>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</si>
  <si>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</si>
  <si>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</si>
  <si>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</si>
  <si>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</si>
  <si>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</si>
  <si>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</si>
  <si>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</si>
  <si>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</si>
  <si>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</si>
  <si>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</si>
  <si>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</si>
  <si>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</si>
  <si>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</si>
  <si>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</si>
  <si>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</si>
  <si>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</si>
  <si>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</si>
  <si>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</si>
  <si>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</si>
  <si>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</si>
  <si>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</si>
  <si>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</si>
  <si>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</si>
  <si>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</si>
  <si>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</si>
  <si>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</si>
  <si>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</si>
  <si>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</si>
  <si>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</si>
  <si>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</si>
  <si>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</si>
  <si>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</si>
  <si>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</si>
  <si>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</si>
  <si>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</si>
  <si>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</si>
  <si>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</si>
  <si>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</si>
  <si>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</si>
  <si>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</si>
  <si>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</si>
  <si>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</si>
  <si>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</si>
  <si>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</si>
  <si>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</si>
  <si>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</si>
  <si>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</si>
  <si>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</si>
  <si>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</si>
  <si>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</si>
  <si>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</si>
  <si>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PTM</t>
  </si>
  <si>
    <t>Test</t>
  </si>
  <si>
    <t>BA1</t>
  </si>
  <si>
    <t>SP</t>
  </si>
  <si>
    <t>SingleIndication.vi</t>
  </si>
  <si>
    <t>onColor=255,0,0</t>
  </si>
  <si>
    <t>textColor=0,0,255</t>
  </si>
  <si>
    <t>offColor=0,255,0</t>
  </si>
  <si>
    <t>192.168.1.248</t>
  </si>
  <si>
    <t>CMD</t>
  </si>
  <si>
    <t>ETH</t>
  </si>
  <si>
    <t>WiFi</t>
  </si>
  <si>
    <t>192.168.1.241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</si>
</sst>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24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4" fillId="0" borderId="0" xfId="0" applyNumberFormat="1" applyFont="1" applyProtection="1">
      <protection locked="0"/>
    </xf>
    <xf numFmtId="0" fontId="0" fillId="0" borderId="0" xfId="0" applyNumberFormat="1" applyFont="1" applyAlignment="1" applyProtection="1">
      <alignment horizontal="left"/>
      <protection locked="0"/>
    </xf>
    <xf numFmtId="0" fontId="0" fillId="0" borderId="0" xfId="0" applyNumberFormat="1" applyFont="1" applyProtection="1">
      <protection locked="0"/>
    </xf>
    <xf numFmtId="0" fontId="4" fillId="3" borderId="0" xfId="0" applyNumberFormat="1" applyFont="1" applyFill="1" applyAlignment="1" applyProtection="1">
      <alignment horizontal="left"/>
      <protection locked="0"/>
    </xf>
    <xf numFmtId="0" fontId="4" fillId="3" borderId="0" xfId="0" applyNumberFormat="1" applyFont="1" applyFill="1" applyAlignment="1" applyProtection="1">
      <alignment horizontal="left" vertical="top" wrapText="1"/>
      <protection locked="0"/>
    </xf>
    <xf numFmtId="0" fontId="4" fillId="3" borderId="0" xfId="0" applyNumberFormat="1" applyFont="1" applyFill="1" applyProtection="1">
      <protection locked="0"/>
    </xf>
    <xf numFmtId="0" fontId="0" fillId="0" borderId="0" xfId="0" applyNumberFormat="1" applyFill="1" applyBorder="1" applyAlignment="1" applyProtection="1">
      <alignment horizontal="left"/>
      <protection locked="0"/>
    </xf>
    <xf numFmtId="0" fontId="0" fillId="0" borderId="0" xfId="0" applyNumberFormat="1" applyFill="1" applyBorder="1" applyAlignment="1" applyProtection="1">
      <alignment horizontal="left" vertical="top" wrapText="1"/>
      <protection locked="0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/>
    <xf numFmtId="0" fontId="0" fillId="0" borderId="0" xfId="0" applyNumberFormat="1" applyFill="1" applyBorder="1" applyProtection="1"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 headerRowDxfId="90" dataDxfId="89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54" dataDxfId="53">
  <autoFilter ref="A1:AE2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21" dataDxfId="20">
  <autoFilter ref="A1:T18"/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5"/>
  <sheetViews>
    <sheetView zoomScale="90" workbookViewId="0">
      <selection activeCell="F21" sqref="F21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16" customFormat="1" ht="14.1" customHeight="1" x14ac:dyDescent="0.2">
      <c r="B3" s="16" t="s">
        <v>134</v>
      </c>
      <c r="C3" s="17" t="s">
        <v>7</v>
      </c>
      <c r="E3" s="16" t="s">
        <v>145</v>
      </c>
      <c r="F3" s="16" t="s">
        <v>73</v>
      </c>
      <c r="G3" s="16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208</v>
      </c>
      <c r="B12" s="3" t="s">
        <v>10</v>
      </c>
      <c r="C12" s="4">
        <v>201</v>
      </c>
      <c r="D12" s="3" t="s">
        <v>207</v>
      </c>
      <c r="E12" s="3">
        <v>24000</v>
      </c>
    </row>
    <row r="14" spans="1:17" s="14" customFormat="1" x14ac:dyDescent="0.2">
      <c r="A14" s="21" t="s">
        <v>206</v>
      </c>
      <c r="B14" s="21" t="s">
        <v>134</v>
      </c>
      <c r="C14" s="21" t="s">
        <v>207</v>
      </c>
      <c r="D14" s="21"/>
      <c r="E14" s="21" t="s">
        <v>207</v>
      </c>
      <c r="F14" s="21">
        <v>2404</v>
      </c>
    </row>
    <row r="16" spans="1:17" x14ac:dyDescent="0.2">
      <c r="G16" s="11"/>
    </row>
    <row r="19" spans="1:7" x14ac:dyDescent="0.2">
      <c r="A19" s="19"/>
      <c r="B19" s="19"/>
      <c r="C19" s="20"/>
      <c r="D19" s="19"/>
      <c r="E19" s="19"/>
      <c r="F19" s="19"/>
      <c r="G19" s="19"/>
    </row>
    <row r="20" spans="1:7" x14ac:dyDescent="0.2">
      <c r="A20" s="19"/>
      <c r="B20" s="19"/>
      <c r="C20" s="20"/>
      <c r="D20" s="19"/>
      <c r="E20" s="19"/>
      <c r="F20" s="19"/>
      <c r="G20" s="19"/>
    </row>
    <row r="21" spans="1:7" x14ac:dyDescent="0.2">
      <c r="A21" s="21" t="s">
        <v>206</v>
      </c>
      <c r="B21" s="21" t="str">
        <f>B3</f>
        <v>IEC 60870-5-104</v>
      </c>
      <c r="C21" s="21" t="s">
        <v>207</v>
      </c>
      <c r="D21" s="21"/>
      <c r="E21" s="21" t="s">
        <v>207</v>
      </c>
      <c r="F21" s="21">
        <v>2404</v>
      </c>
      <c r="G21" s="19"/>
    </row>
    <row r="22" spans="1:7" x14ac:dyDescent="0.2">
      <c r="A22" s="19"/>
      <c r="B22" s="19"/>
      <c r="C22" s="20"/>
      <c r="D22" s="19"/>
      <c r="E22" s="19"/>
      <c r="F22" s="19"/>
      <c r="G22" s="19"/>
    </row>
    <row r="23" spans="1:7" x14ac:dyDescent="0.2">
      <c r="A23" s="19"/>
      <c r="B23" s="19"/>
      <c r="C23" s="20"/>
      <c r="D23" s="19"/>
      <c r="E23" s="19"/>
      <c r="F23" s="19"/>
      <c r="G23" s="19"/>
    </row>
    <row r="24" spans="1:7" x14ac:dyDescent="0.2">
      <c r="B24" s="3" t="s">
        <v>218</v>
      </c>
      <c r="C24" s="4" t="s">
        <v>220</v>
      </c>
    </row>
    <row r="25" spans="1:7" x14ac:dyDescent="0.2">
      <c r="B25" s="3" t="s">
        <v>219</v>
      </c>
      <c r="C25" s="4" t="s">
        <v>216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3"/>
  <sheetViews>
    <sheetView tabSelected="1" zoomScaleNormal="100" workbookViewId="0">
      <selection activeCell="N19" sqref="N19"/>
    </sheetView>
  </sheetViews>
  <sheetFormatPr baseColWidth="10" defaultColWidth="9.140625" defaultRowHeight="12.75" x14ac:dyDescent="0.2"/>
  <cols>
    <col min="1" max="1" width="10.28515625" style="12" customWidth="1"/>
    <col min="2" max="4" width="3.7109375" style="12" customWidth="1"/>
    <col min="5" max="5" width="6.140625" style="12" customWidth="1"/>
    <col min="6" max="6" width="18.140625" style="12" customWidth="1"/>
    <col min="7" max="7" width="17.42578125" style="12" customWidth="1"/>
    <col min="8" max="8" width="23.140625" style="12" customWidth="1"/>
    <col min="9" max="9" width="20.140625" style="12" customWidth="1"/>
    <col min="10" max="10" width="22.42578125" style="12" customWidth="1"/>
    <col min="11" max="11" width="17.7109375" style="12" customWidth="1"/>
    <col min="12" max="12" width="32.42578125" style="12" customWidth="1"/>
    <col min="13" max="13" width="25.42578125" style="12" customWidth="1"/>
    <col min="14" max="14" width="22.5703125" style="12" bestFit="1" customWidth="1"/>
    <col min="15" max="15" width="29.85546875" style="12" customWidth="1"/>
    <col min="16" max="16" width="24.5703125" style="12" customWidth="1"/>
    <col min="17" max="17" width="25.42578125" style="12" bestFit="1" customWidth="1"/>
    <col min="18" max="18" width="31.42578125" style="12" customWidth="1"/>
    <col min="19" max="19" width="17.42578125" style="12" bestFit="1" customWidth="1"/>
    <col min="20" max="20" width="20.5703125" style="12" customWidth="1"/>
    <col min="21" max="21" width="16.42578125" style="12" bestFit="1" customWidth="1"/>
    <col min="22" max="31" width="20.5703125" style="12" customWidth="1"/>
    <col min="32" max="16384" width="9.140625" style="12"/>
  </cols>
  <sheetData>
    <row r="1" spans="1:31" x14ac:dyDescent="0.2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43</v>
      </c>
      <c r="G1" s="12" t="s">
        <v>3</v>
      </c>
      <c r="H1" s="12" t="s">
        <v>4</v>
      </c>
      <c r="I1" s="12" t="s">
        <v>5</v>
      </c>
      <c r="J1" s="12" t="s">
        <v>6</v>
      </c>
      <c r="K1" s="12" t="s">
        <v>33</v>
      </c>
      <c r="L1" s="12" t="s">
        <v>34</v>
      </c>
      <c r="M1" s="12" t="s">
        <v>35</v>
      </c>
      <c r="N1" s="12" t="s">
        <v>36</v>
      </c>
      <c r="O1" s="12" t="s">
        <v>37</v>
      </c>
      <c r="P1" s="12" t="s">
        <v>39</v>
      </c>
      <c r="Q1" s="12" t="s">
        <v>40</v>
      </c>
      <c r="R1" s="12" t="s">
        <v>38</v>
      </c>
      <c r="S1" s="12" t="s">
        <v>41</v>
      </c>
      <c r="T1" s="12" t="s">
        <v>110</v>
      </c>
      <c r="U1" s="12" t="s">
        <v>111</v>
      </c>
      <c r="V1" s="12" t="s">
        <v>112</v>
      </c>
      <c r="W1" s="12" t="s">
        <v>113</v>
      </c>
      <c r="X1" s="12" t="s">
        <v>114</v>
      </c>
      <c r="Y1" s="12" t="s">
        <v>115</v>
      </c>
      <c r="Z1" s="12" t="s">
        <v>116</v>
      </c>
      <c r="AA1" s="12" t="s">
        <v>117</v>
      </c>
      <c r="AB1" s="12" t="s">
        <v>118</v>
      </c>
      <c r="AC1" s="12" t="s">
        <v>119</v>
      </c>
      <c r="AD1" s="12" t="s">
        <v>120</v>
      </c>
      <c r="AE1" s="12" t="s">
        <v>121</v>
      </c>
    </row>
    <row r="2" spans="1:31" s="13" customFormat="1" x14ac:dyDescent="0.2">
      <c r="F2" s="13" t="s">
        <v>32</v>
      </c>
      <c r="G2" s="13" t="s">
        <v>31</v>
      </c>
      <c r="H2" s="13" t="s">
        <v>76</v>
      </c>
      <c r="I2" s="13" t="s">
        <v>99</v>
      </c>
      <c r="J2" s="13" t="s">
        <v>100</v>
      </c>
      <c r="K2" s="13" t="s">
        <v>77</v>
      </c>
      <c r="L2" s="13" t="s">
        <v>101</v>
      </c>
      <c r="M2" s="13" t="s">
        <v>102</v>
      </c>
      <c r="N2" s="13" t="s">
        <v>78</v>
      </c>
      <c r="O2" s="13" t="s">
        <v>103</v>
      </c>
      <c r="P2" s="13" t="s">
        <v>104</v>
      </c>
      <c r="Q2" s="13" t="s">
        <v>93</v>
      </c>
      <c r="R2" s="13" t="s">
        <v>105</v>
      </c>
      <c r="S2" s="13" t="s">
        <v>106</v>
      </c>
    </row>
    <row r="3" spans="1:31" s="13" customFormat="1" x14ac:dyDescent="0.2">
      <c r="F3" s="13" t="s">
        <v>42</v>
      </c>
      <c r="G3" s="13" t="s">
        <v>74</v>
      </c>
      <c r="H3" s="13" t="s">
        <v>31</v>
      </c>
      <c r="I3" s="13" t="s">
        <v>94</v>
      </c>
      <c r="J3" s="13" t="s">
        <v>75</v>
      </c>
      <c r="K3" s="13" t="s">
        <v>107</v>
      </c>
      <c r="L3" s="13" t="s">
        <v>108</v>
      </c>
    </row>
    <row r="4" spans="1:31" s="13" customFormat="1" x14ac:dyDescent="0.2">
      <c r="F4" s="13" t="s">
        <v>109</v>
      </c>
      <c r="G4" s="13" t="s">
        <v>31</v>
      </c>
      <c r="H4" s="13" t="s">
        <v>164</v>
      </c>
      <c r="I4" s="13" t="s">
        <v>165</v>
      </c>
      <c r="J4" s="13" t="s">
        <v>166</v>
      </c>
      <c r="K4" s="13" t="s">
        <v>167</v>
      </c>
      <c r="L4" s="13" t="s">
        <v>168</v>
      </c>
      <c r="M4" s="13" t="s">
        <v>169</v>
      </c>
      <c r="N4" s="13" t="s">
        <v>170</v>
      </c>
      <c r="O4" s="13" t="s">
        <v>171</v>
      </c>
      <c r="P4" s="13" t="s">
        <v>172</v>
      </c>
      <c r="Q4" s="13" t="s">
        <v>173</v>
      </c>
      <c r="R4" s="13" t="s">
        <v>174</v>
      </c>
      <c r="S4" s="13" t="s">
        <v>175</v>
      </c>
      <c r="T4" s="13" t="s">
        <v>176</v>
      </c>
      <c r="U4" s="13" t="s">
        <v>177</v>
      </c>
      <c r="V4" s="13" t="s">
        <v>178</v>
      </c>
      <c r="W4" s="13" t="s">
        <v>179</v>
      </c>
      <c r="X4" s="13" t="s">
        <v>180</v>
      </c>
      <c r="Y4" s="13" t="s">
        <v>181</v>
      </c>
      <c r="Z4" s="13" t="s">
        <v>182</v>
      </c>
      <c r="AA4" s="13" t="s">
        <v>183</v>
      </c>
      <c r="AB4" s="13" t="s">
        <v>184</v>
      </c>
      <c r="AC4" s="13" t="s">
        <v>185</v>
      </c>
      <c r="AD4" s="13" t="s">
        <v>186</v>
      </c>
      <c r="AE4" s="13" t="s">
        <v>187</v>
      </c>
    </row>
    <row r="5" spans="1:31" s="13" customFormat="1" x14ac:dyDescent="0.2">
      <c r="F5" s="13" t="s">
        <v>135</v>
      </c>
      <c r="G5" s="13" t="s">
        <v>74</v>
      </c>
      <c r="H5" s="13" t="s">
        <v>13</v>
      </c>
      <c r="I5" s="13" t="s">
        <v>94</v>
      </c>
      <c r="J5" s="13" t="s">
        <v>16</v>
      </c>
      <c r="K5" s="13" t="s">
        <v>17</v>
      </c>
      <c r="L5" s="13" t="s">
        <v>19</v>
      </c>
      <c r="M5" s="13" t="s">
        <v>21</v>
      </c>
      <c r="N5" s="13" t="s">
        <v>23</v>
      </c>
      <c r="O5" s="13" t="s">
        <v>154</v>
      </c>
      <c r="P5" s="13" t="s">
        <v>163</v>
      </c>
      <c r="Q5" s="13" t="s">
        <v>152</v>
      </c>
    </row>
    <row r="6" spans="1:31" s="18" customFormat="1" x14ac:dyDescent="0.2">
      <c r="F6" s="18" t="s">
        <v>136</v>
      </c>
      <c r="G6" s="18" t="s">
        <v>74</v>
      </c>
      <c r="H6" s="18" t="s">
        <v>13</v>
      </c>
      <c r="I6" s="18" t="s">
        <v>94</v>
      </c>
      <c r="J6" s="18" t="s">
        <v>16</v>
      </c>
      <c r="K6" s="18" t="s">
        <v>17</v>
      </c>
      <c r="L6" s="18" t="s">
        <v>19</v>
      </c>
      <c r="M6" s="18" t="s">
        <v>21</v>
      </c>
      <c r="N6" s="18" t="s">
        <v>23</v>
      </c>
      <c r="O6" s="18" t="s">
        <v>154</v>
      </c>
      <c r="P6" s="18" t="s">
        <v>163</v>
      </c>
      <c r="Q6" s="18" t="s">
        <v>152</v>
      </c>
    </row>
    <row r="7" spans="1:31" s="13" customFormat="1" x14ac:dyDescent="0.2">
      <c r="F7" s="13" t="s">
        <v>148</v>
      </c>
      <c r="G7" s="13" t="s">
        <v>74</v>
      </c>
      <c r="H7" s="13" t="s">
        <v>13</v>
      </c>
      <c r="I7" s="13" t="s">
        <v>94</v>
      </c>
      <c r="J7" s="13" t="s">
        <v>149</v>
      </c>
      <c r="K7" s="13" t="s">
        <v>150</v>
      </c>
      <c r="L7" s="13" t="s">
        <v>151</v>
      </c>
      <c r="M7" s="13" t="s">
        <v>152</v>
      </c>
      <c r="N7" s="13" t="s">
        <v>153</v>
      </c>
    </row>
    <row r="8" spans="1:31" s="13" customFormat="1" x14ac:dyDescent="0.2">
      <c r="F8" s="13" t="s">
        <v>193</v>
      </c>
      <c r="G8" s="13" t="s">
        <v>74</v>
      </c>
      <c r="H8" s="13" t="s">
        <v>13</v>
      </c>
      <c r="I8" s="13" t="s">
        <v>94</v>
      </c>
      <c r="J8" s="13" t="s">
        <v>149</v>
      </c>
      <c r="K8" s="13" t="s">
        <v>196</v>
      </c>
      <c r="L8" s="13" t="s">
        <v>194</v>
      </c>
    </row>
    <row r="9" spans="1:31" s="13" customFormat="1" x14ac:dyDescent="0.2">
      <c r="F9" s="13" t="s">
        <v>158</v>
      </c>
      <c r="G9" s="13" t="s">
        <v>74</v>
      </c>
      <c r="H9" s="13" t="s">
        <v>13</v>
      </c>
      <c r="I9" s="13" t="s">
        <v>94</v>
      </c>
      <c r="J9" s="13" t="s">
        <v>159</v>
      </c>
      <c r="K9" s="13" t="s">
        <v>161</v>
      </c>
    </row>
    <row r="10" spans="1:31" s="13" customFormat="1" x14ac:dyDescent="0.2">
      <c r="F10" s="13" t="s">
        <v>56</v>
      </c>
      <c r="G10" s="13" t="s">
        <v>96</v>
      </c>
      <c r="H10" s="13" t="s">
        <v>44</v>
      </c>
      <c r="I10" s="13" t="s">
        <v>45</v>
      </c>
      <c r="J10" s="13" t="s">
        <v>46</v>
      </c>
      <c r="K10" s="13" t="s">
        <v>47</v>
      </c>
      <c r="L10" s="13" t="s">
        <v>48</v>
      </c>
      <c r="M10" s="13" t="s">
        <v>49</v>
      </c>
      <c r="N10" s="13" t="s">
        <v>50</v>
      </c>
      <c r="O10" s="13" t="s">
        <v>51</v>
      </c>
      <c r="P10" s="13" t="s">
        <v>52</v>
      </c>
      <c r="Q10" s="13" t="s">
        <v>53</v>
      </c>
      <c r="R10" s="13" t="s">
        <v>54</v>
      </c>
      <c r="S10" s="13" t="s">
        <v>55</v>
      </c>
    </row>
    <row r="11" spans="1:31" s="13" customFormat="1" x14ac:dyDescent="0.2">
      <c r="F11" s="13" t="s">
        <v>57</v>
      </c>
      <c r="G11" s="13" t="s">
        <v>61</v>
      </c>
      <c r="H11" s="13" t="s">
        <v>62</v>
      </c>
      <c r="I11" s="13" t="s">
        <v>63</v>
      </c>
      <c r="J11" s="13" t="s">
        <v>64</v>
      </c>
      <c r="K11" s="13" t="s">
        <v>65</v>
      </c>
      <c r="L11" s="13" t="s">
        <v>66</v>
      </c>
      <c r="M11" s="13" t="s">
        <v>67</v>
      </c>
      <c r="N11" s="13" t="s">
        <v>68</v>
      </c>
      <c r="O11" s="13" t="s">
        <v>69</v>
      </c>
      <c r="P11" s="13" t="s">
        <v>70</v>
      </c>
      <c r="Q11" s="13" t="s">
        <v>71</v>
      </c>
      <c r="R11" s="13" t="s">
        <v>72</v>
      </c>
      <c r="S11" s="13" t="s">
        <v>95</v>
      </c>
    </row>
    <row r="12" spans="1:31" s="13" customFormat="1" x14ac:dyDescent="0.2">
      <c r="F12" s="13" t="s">
        <v>122</v>
      </c>
      <c r="G12" s="13" t="s">
        <v>74</v>
      </c>
      <c r="H12" s="13" t="s">
        <v>123</v>
      </c>
      <c r="I12" s="13" t="s">
        <v>124</v>
      </c>
      <c r="J12" s="13" t="s">
        <v>125</v>
      </c>
      <c r="K12" s="13" t="s">
        <v>126</v>
      </c>
      <c r="L12" s="13" t="s">
        <v>127</v>
      </c>
      <c r="M12" s="13" t="s">
        <v>128</v>
      </c>
      <c r="N12" s="13" t="s">
        <v>129</v>
      </c>
      <c r="O12" s="13" t="s">
        <v>130</v>
      </c>
      <c r="P12" s="13" t="s">
        <v>131</v>
      </c>
      <c r="Q12" s="13" t="s">
        <v>132</v>
      </c>
    </row>
    <row r="13" spans="1:31" s="13" customFormat="1" x14ac:dyDescent="0.2">
      <c r="F13" s="13" t="s">
        <v>201</v>
      </c>
      <c r="G13" s="13" t="s">
        <v>74</v>
      </c>
      <c r="H13" s="13" t="s">
        <v>13</v>
      </c>
      <c r="I13" s="13" t="s">
        <v>202</v>
      </c>
      <c r="J13" s="13" t="s">
        <v>203</v>
      </c>
      <c r="K13" s="13" t="s">
        <v>94</v>
      </c>
      <c r="L13" s="13" t="s">
        <v>204</v>
      </c>
    </row>
    <row r="16" spans="1:31" s="15" customFormat="1" x14ac:dyDescent="0.2">
      <c r="A16" s="15" t="s">
        <v>209</v>
      </c>
      <c r="E16" s="15" t="s">
        <v>210</v>
      </c>
      <c r="F16" s="15" t="str">
        <f>F3</f>
        <v>electrical SP</v>
      </c>
      <c r="G16" s="15" t="s">
        <v>211</v>
      </c>
      <c r="J16" s="15">
        <v>201</v>
      </c>
      <c r="K16" s="15">
        <v>1</v>
      </c>
    </row>
    <row r="17" spans="1:15" s="15" customFormat="1" x14ac:dyDescent="0.2">
      <c r="A17" s="15" t="s">
        <v>209</v>
      </c>
      <c r="E17" s="15" t="s">
        <v>210</v>
      </c>
      <c r="F17" s="15" t="s">
        <v>56</v>
      </c>
      <c r="G17" s="15" t="s">
        <v>212</v>
      </c>
      <c r="H17" s="15" t="s">
        <v>210</v>
      </c>
      <c r="I17" s="15" t="s">
        <v>213</v>
      </c>
      <c r="J17" s="15" t="s">
        <v>214</v>
      </c>
      <c r="K17" s="15" t="s">
        <v>215</v>
      </c>
    </row>
    <row r="18" spans="1:15" s="15" customFormat="1" x14ac:dyDescent="0.2"/>
    <row r="19" spans="1:15" x14ac:dyDescent="0.2">
      <c r="A19" s="22" t="s">
        <v>209</v>
      </c>
      <c r="B19" s="22"/>
      <c r="C19" s="22"/>
      <c r="D19" s="22"/>
      <c r="E19" s="22" t="s">
        <v>210</v>
      </c>
      <c r="F19" s="22" t="s">
        <v>136</v>
      </c>
      <c r="G19" s="22" t="s">
        <v>217</v>
      </c>
      <c r="H19" s="22" t="s">
        <v>206</v>
      </c>
      <c r="I19" s="22" t="s">
        <v>210</v>
      </c>
      <c r="J19" s="21">
        <v>0</v>
      </c>
      <c r="K19" s="21">
        <v>201</v>
      </c>
      <c r="L19" s="21">
        <v>0</v>
      </c>
      <c r="M19" s="21">
        <v>0</v>
      </c>
      <c r="N19" s="21">
        <v>1</v>
      </c>
      <c r="O19" s="21">
        <v>45</v>
      </c>
    </row>
    <row r="33" spans="1:18" s="23" customFormat="1" x14ac:dyDescent="0.2">
      <c r="A33" s="22" t="s">
        <v>209</v>
      </c>
      <c r="B33" s="22"/>
      <c r="C33" s="22"/>
      <c r="D33" s="22"/>
      <c r="E33" s="22" t="s">
        <v>210</v>
      </c>
      <c r="F33" s="22" t="str">
        <f>F6</f>
        <v>-104 Telegram</v>
      </c>
      <c r="G33" s="22" t="s">
        <v>217</v>
      </c>
      <c r="H33" s="22" t="str">
        <f>'Test Interfaces'!A21</f>
        <v>IED104</v>
      </c>
      <c r="I33" s="22" t="s">
        <v>210</v>
      </c>
      <c r="J33" s="21">
        <v>1</v>
      </c>
      <c r="K33" s="21">
        <v>1</v>
      </c>
      <c r="L33" s="21">
        <v>1</v>
      </c>
      <c r="M33" s="21">
        <v>1</v>
      </c>
      <c r="N33" s="21">
        <v>1</v>
      </c>
      <c r="O33" s="21">
        <v>45</v>
      </c>
      <c r="P33" s="22"/>
      <c r="Q33" s="22"/>
      <c r="R33" s="2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2024-06-13T20:16:50Z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